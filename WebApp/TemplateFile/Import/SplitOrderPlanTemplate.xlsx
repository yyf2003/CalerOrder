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30" yWindow="285" windowWidth="17025" windowHeight="74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48" i="1"/>
  <c r="C48"/>
  <c r="D38"/>
  <c r="C38"/>
  <c r="D28"/>
  <c r="C28"/>
</calcChain>
</file>

<file path=xl/sharedStrings.xml><?xml version="1.0" encoding="utf-8"?>
<sst xmlns="http://schemas.openxmlformats.org/spreadsheetml/2006/main" count="256" uniqueCount="59">
  <si>
    <t>订单类型</t>
    <phoneticPr fontId="1" type="noConversion"/>
  </si>
  <si>
    <t>宽</t>
    <phoneticPr fontId="1" type="noConversion"/>
  </si>
  <si>
    <t>高</t>
    <phoneticPr fontId="1" type="noConversion"/>
  </si>
  <si>
    <t>材质</t>
    <phoneticPr fontId="1" type="noConversion"/>
  </si>
  <si>
    <t>供货方</t>
    <phoneticPr fontId="1" type="noConversion"/>
  </si>
  <si>
    <t>单价</t>
    <phoneticPr fontId="1" type="noConversion"/>
  </si>
  <si>
    <t>数量</t>
    <phoneticPr fontId="1" type="noConversion"/>
  </si>
  <si>
    <t>备注</t>
    <phoneticPr fontId="1" type="noConversion"/>
  </si>
  <si>
    <t>新选图</t>
    <phoneticPr fontId="1" type="noConversion"/>
  </si>
  <si>
    <t>区域</t>
    <phoneticPr fontId="1" type="noConversion"/>
  </si>
  <si>
    <t>省份</t>
    <phoneticPr fontId="1" type="noConversion"/>
  </si>
  <si>
    <t>城市</t>
    <phoneticPr fontId="1" type="noConversion"/>
  </si>
  <si>
    <t>POP位置</t>
    <phoneticPr fontId="1" type="noConversion"/>
  </si>
  <si>
    <t>器架类型</t>
    <phoneticPr fontId="1" type="noConversion"/>
  </si>
  <si>
    <t>性别</t>
    <phoneticPr fontId="1" type="noConversion"/>
  </si>
  <si>
    <t>城市级别</t>
    <phoneticPr fontId="1" type="noConversion"/>
  </si>
  <si>
    <t>店铺编号</t>
    <phoneticPr fontId="1" type="noConversion"/>
  </si>
  <si>
    <t>店铺类型</t>
    <phoneticPr fontId="1" type="noConversion"/>
  </si>
  <si>
    <t>物料支持</t>
    <phoneticPr fontId="1" type="noConversion"/>
  </si>
  <si>
    <t>店铺规模</t>
    <phoneticPr fontId="1" type="noConversion"/>
  </si>
  <si>
    <t>安装级别</t>
    <phoneticPr fontId="1" type="noConversion"/>
  </si>
  <si>
    <t>数量</t>
    <phoneticPr fontId="1" type="noConversion"/>
  </si>
  <si>
    <t>POP编号</t>
    <phoneticPr fontId="1" type="noConversion"/>
  </si>
  <si>
    <t>POP材质</t>
    <phoneticPr fontId="1" type="noConversion"/>
  </si>
  <si>
    <t>POP尺寸</t>
    <phoneticPr fontId="1" type="noConversion"/>
  </si>
  <si>
    <t>位置尺寸</t>
    <phoneticPr fontId="1" type="noConversion"/>
  </si>
  <si>
    <t>选图</t>
    <phoneticPr fontId="1" type="noConversion"/>
  </si>
  <si>
    <t>是否保留POP原尺寸</t>
    <phoneticPr fontId="1" type="noConversion"/>
  </si>
  <si>
    <t>鞋墙</t>
  </si>
  <si>
    <t>方案一</t>
    <phoneticPr fontId="1" type="noConversion"/>
  </si>
  <si>
    <t>条件</t>
    <phoneticPr fontId="1" type="noConversion"/>
  </si>
  <si>
    <t>内容</t>
    <phoneticPr fontId="1" type="noConversion"/>
  </si>
  <si>
    <t>男，女</t>
  </si>
  <si>
    <t>NORTH</t>
  </si>
  <si>
    <t>NORTH</t>
    <phoneticPr fontId="1" type="noConversion"/>
  </si>
  <si>
    <t>MCS</t>
    <phoneticPr fontId="1" type="noConversion"/>
  </si>
  <si>
    <t>非空</t>
    <phoneticPr fontId="1" type="noConversion"/>
  </si>
  <si>
    <t>POP</t>
  </si>
  <si>
    <t>PP+雪弗板</t>
  </si>
  <si>
    <t>鞋墙主KV</t>
  </si>
  <si>
    <t>加配灯槽</t>
    <phoneticPr fontId="1" type="noConversion"/>
  </si>
  <si>
    <t>POP</t>
    <phoneticPr fontId="3" type="noConversion"/>
  </si>
  <si>
    <t>道具</t>
    <phoneticPr fontId="3" type="noConversion"/>
  </si>
  <si>
    <t>可移除</t>
    <phoneticPr fontId="3" type="noConversion"/>
  </si>
  <si>
    <t>灯槽上方贴纸</t>
    <phoneticPr fontId="3" type="noConversion"/>
  </si>
  <si>
    <t>灯槽下方贴纸</t>
    <phoneticPr fontId="3" type="noConversion"/>
  </si>
  <si>
    <t>九宫格道具-艾尚</t>
    <phoneticPr fontId="3" type="noConversion"/>
  </si>
  <si>
    <t>方案二</t>
    <phoneticPr fontId="1" type="noConversion"/>
  </si>
  <si>
    <t>WEST</t>
  </si>
  <si>
    <t>加配灯槽</t>
    <phoneticPr fontId="3" type="noConversion"/>
  </si>
  <si>
    <t>方案三</t>
    <phoneticPr fontId="1" type="noConversion"/>
  </si>
  <si>
    <t>vvip,premium</t>
  </si>
  <si>
    <t>PP+雪弗板</t>
    <phoneticPr fontId="3" type="noConversion"/>
  </si>
  <si>
    <t>鞋墙主KV</t>
    <phoneticPr fontId="3" type="noConversion"/>
  </si>
  <si>
    <t>九宫格内嵌入格子(420+95*2）*（335+95*2）</t>
    <phoneticPr fontId="3" type="noConversion"/>
  </si>
  <si>
    <t>九宫格中间横板+雕刻字-按排版制作</t>
    <phoneticPr fontId="3" type="noConversion"/>
  </si>
  <si>
    <t>方案四</t>
    <phoneticPr fontId="1" type="noConversion"/>
  </si>
  <si>
    <t>CORE带9宫格</t>
  </si>
  <si>
    <t>方案五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</si>
</sst>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topLeftCell="A28" workbookViewId="0">
      <selection activeCell="G46" sqref="G46"/>
    </sheetView>
  </sheetViews>
  <sheetFormatPr defaultRowHeight="13.5"/>
  <cols>
    <col min="2" max="2" width="14.25" customWidth="1"/>
    <col min="3" max="3" width="9.875" customWidth="1"/>
    <col min="5" max="5" width="12.25" customWidth="1"/>
    <col min="6" max="6" width="12.125" customWidth="1"/>
    <col min="7" max="7" width="12.25" customWidth="1"/>
    <col min="8" max="8" width="13.75" customWidth="1"/>
    <col min="9" max="9" width="10.5" customWidth="1"/>
    <col min="10" max="10" width="43.375" bestFit="1" customWidth="1"/>
    <col min="11" max="11" width="13.625" customWidth="1"/>
    <col min="12" max="12" width="15.125" customWidth="1"/>
    <col min="20" max="20" width="14.75" bestFit="1" customWidth="1"/>
  </cols>
  <sheetData>
    <row r="1" spans="1:20">
      <c r="A1" t="s">
        <v>29</v>
      </c>
    </row>
    <row r="2" spans="1:20">
      <c r="A2" t="s">
        <v>30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</row>
    <row r="3" spans="1:20" ht="13.5" customHeight="1">
      <c r="B3" t="s">
        <v>34</v>
      </c>
      <c r="E3" s="1" t="s">
        <v>28</v>
      </c>
      <c r="G3" t="s">
        <v>32</v>
      </c>
      <c r="K3" t="s">
        <v>35</v>
      </c>
      <c r="Q3" t="s">
        <v>36</v>
      </c>
    </row>
    <row r="4" spans="1:20">
      <c r="A4" t="s">
        <v>31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8</v>
      </c>
      <c r="J4" t="s">
        <v>7</v>
      </c>
    </row>
    <row r="5" spans="1:20">
      <c r="B5" t="s">
        <v>37</v>
      </c>
      <c r="C5">
        <v>1290</v>
      </c>
      <c r="D5">
        <v>1405</v>
      </c>
      <c r="E5" t="s">
        <v>38</v>
      </c>
      <c r="H5">
        <v>1</v>
      </c>
      <c r="J5" t="s">
        <v>39</v>
      </c>
    </row>
    <row r="6" spans="1:20">
      <c r="B6" t="s">
        <v>37</v>
      </c>
      <c r="C6">
        <v>1290</v>
      </c>
      <c r="D6">
        <v>280</v>
      </c>
      <c r="E6" t="s">
        <v>38</v>
      </c>
      <c r="H6">
        <v>1</v>
      </c>
      <c r="J6" t="s">
        <v>40</v>
      </c>
    </row>
    <row r="7" spans="1:20">
      <c r="B7" s="2" t="s">
        <v>41</v>
      </c>
      <c r="C7" s="2">
        <v>1290</v>
      </c>
      <c r="D7" s="2">
        <v>810</v>
      </c>
      <c r="E7" s="2" t="s">
        <v>43</v>
      </c>
      <c r="H7">
        <v>1</v>
      </c>
      <c r="J7" s="2" t="s">
        <v>44</v>
      </c>
    </row>
    <row r="8" spans="1:20">
      <c r="B8" s="2" t="s">
        <v>41</v>
      </c>
      <c r="C8" s="2">
        <v>1290</v>
      </c>
      <c r="D8" s="2">
        <v>1180</v>
      </c>
      <c r="E8" s="2" t="s">
        <v>43</v>
      </c>
      <c r="H8">
        <v>1</v>
      </c>
      <c r="J8" s="2" t="s">
        <v>45</v>
      </c>
    </row>
    <row r="9" spans="1:20">
      <c r="B9" s="2" t="s">
        <v>42</v>
      </c>
      <c r="H9">
        <v>1</v>
      </c>
      <c r="J9" s="2" t="s">
        <v>46</v>
      </c>
    </row>
    <row r="11" spans="1:20">
      <c r="A11" t="s">
        <v>47</v>
      </c>
    </row>
    <row r="12" spans="1:20">
      <c r="A12" t="s">
        <v>30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17</v>
      </c>
      <c r="K12" s="1" t="s">
        <v>18</v>
      </c>
      <c r="L12" s="1" t="s">
        <v>19</v>
      </c>
      <c r="M12" s="1" t="s">
        <v>20</v>
      </c>
      <c r="N12" s="1" t="s">
        <v>6</v>
      </c>
      <c r="O12" s="1" t="s">
        <v>22</v>
      </c>
      <c r="P12" s="1" t="s">
        <v>23</v>
      </c>
      <c r="Q12" s="1" t="s">
        <v>24</v>
      </c>
      <c r="R12" s="1" t="s">
        <v>25</v>
      </c>
      <c r="S12" s="1" t="s">
        <v>26</v>
      </c>
      <c r="T12" s="1" t="s">
        <v>27</v>
      </c>
    </row>
    <row r="13" spans="1:20" ht="13.5" customHeight="1">
      <c r="B13" t="s">
        <v>48</v>
      </c>
      <c r="E13" s="1" t="s">
        <v>28</v>
      </c>
      <c r="G13" t="s">
        <v>32</v>
      </c>
      <c r="K13" t="s">
        <v>35</v>
      </c>
      <c r="Q13" t="s">
        <v>36</v>
      </c>
    </row>
    <row r="14" spans="1:20">
      <c r="A14" t="s">
        <v>31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8</v>
      </c>
      <c r="J14" t="s">
        <v>7</v>
      </c>
    </row>
    <row r="15" spans="1:20">
      <c r="B15" t="s">
        <v>37</v>
      </c>
      <c r="C15" s="2">
        <v>1290</v>
      </c>
      <c r="D15" s="2">
        <v>280</v>
      </c>
      <c r="E15" t="s">
        <v>38</v>
      </c>
      <c r="H15">
        <v>1</v>
      </c>
      <c r="J15" s="2" t="s">
        <v>49</v>
      </c>
    </row>
    <row r="16" spans="1:20">
      <c r="B16" s="2" t="s">
        <v>41</v>
      </c>
      <c r="C16" s="2">
        <v>1290</v>
      </c>
      <c r="D16" s="2">
        <v>810</v>
      </c>
      <c r="E16" s="2" t="s">
        <v>43</v>
      </c>
      <c r="H16">
        <v>1</v>
      </c>
      <c r="J16" s="2" t="s">
        <v>44</v>
      </c>
    </row>
    <row r="17" spans="1:20">
      <c r="B17" s="2" t="s">
        <v>41</v>
      </c>
      <c r="C17" s="2">
        <v>1290</v>
      </c>
      <c r="D17" s="2">
        <v>1180</v>
      </c>
      <c r="E17" s="2" t="s">
        <v>43</v>
      </c>
      <c r="H17">
        <v>1</v>
      </c>
      <c r="J17" s="2" t="s">
        <v>45</v>
      </c>
    </row>
    <row r="18" spans="1:20">
      <c r="B18" s="2" t="s">
        <v>42</v>
      </c>
      <c r="H18">
        <v>1</v>
      </c>
      <c r="J18" s="2" t="s">
        <v>46</v>
      </c>
    </row>
    <row r="20" spans="1:20">
      <c r="A20" t="s">
        <v>50</v>
      </c>
    </row>
    <row r="21" spans="1:20">
      <c r="A21" t="s">
        <v>30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17</v>
      </c>
      <c r="K21" s="1" t="s">
        <v>18</v>
      </c>
      <c r="L21" s="1" t="s">
        <v>19</v>
      </c>
      <c r="M21" s="1" t="s">
        <v>20</v>
      </c>
      <c r="N21" s="1" t="s">
        <v>6</v>
      </c>
      <c r="O21" s="1" t="s">
        <v>22</v>
      </c>
      <c r="P21" s="1" t="s">
        <v>23</v>
      </c>
      <c r="Q21" s="1" t="s">
        <v>24</v>
      </c>
      <c r="R21" s="1" t="s">
        <v>25</v>
      </c>
      <c r="S21" s="1" t="s">
        <v>26</v>
      </c>
      <c r="T21" s="1" t="s">
        <v>27</v>
      </c>
    </row>
    <row r="22" spans="1:20" ht="13.5" customHeight="1">
      <c r="B22" t="s">
        <v>33</v>
      </c>
      <c r="E22" s="1" t="s">
        <v>28</v>
      </c>
      <c r="F22" t="s">
        <v>57</v>
      </c>
      <c r="G22" t="s">
        <v>32</v>
      </c>
      <c r="K22" t="s">
        <v>51</v>
      </c>
      <c r="Q22" t="s">
        <v>36</v>
      </c>
    </row>
    <row r="23" spans="1:20">
      <c r="A23" t="s">
        <v>31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8</v>
      </c>
      <c r="J23" t="s">
        <v>7</v>
      </c>
    </row>
    <row r="24" spans="1:20">
      <c r="B24" s="2" t="s">
        <v>41</v>
      </c>
      <c r="C24" s="2">
        <v>1290</v>
      </c>
      <c r="D24" s="2">
        <v>1405</v>
      </c>
      <c r="E24" s="2" t="s">
        <v>52</v>
      </c>
      <c r="H24" s="2">
        <v>1</v>
      </c>
      <c r="J24" s="2" t="s">
        <v>53</v>
      </c>
    </row>
    <row r="25" spans="1:20">
      <c r="B25" s="2" t="s">
        <v>41</v>
      </c>
      <c r="C25" s="2">
        <v>1290</v>
      </c>
      <c r="D25" s="2">
        <v>280</v>
      </c>
      <c r="E25" s="2" t="s">
        <v>52</v>
      </c>
      <c r="H25" s="2">
        <v>1</v>
      </c>
      <c r="J25" s="2" t="s">
        <v>49</v>
      </c>
    </row>
    <row r="26" spans="1:20">
      <c r="B26" s="2" t="s">
        <v>41</v>
      </c>
      <c r="C26" s="2">
        <v>1290</v>
      </c>
      <c r="D26" s="2">
        <v>810</v>
      </c>
      <c r="E26" s="2" t="s">
        <v>43</v>
      </c>
      <c r="H26" s="2">
        <v>1</v>
      </c>
      <c r="J26" s="2" t="s">
        <v>44</v>
      </c>
    </row>
    <row r="27" spans="1:20">
      <c r="B27" s="2" t="s">
        <v>41</v>
      </c>
      <c r="C27" s="2">
        <v>1290</v>
      </c>
      <c r="D27" s="2">
        <v>1180</v>
      </c>
      <c r="E27" s="2" t="s">
        <v>43</v>
      </c>
      <c r="H27" s="2">
        <v>1</v>
      </c>
      <c r="J27" s="2" t="s">
        <v>45</v>
      </c>
    </row>
    <row r="28" spans="1:20">
      <c r="B28" s="2" t="s">
        <v>41</v>
      </c>
      <c r="C28" s="2">
        <f>420+95*2</f>
        <v>610</v>
      </c>
      <c r="D28" s="2">
        <f>335+95*2</f>
        <v>525</v>
      </c>
      <c r="E28" s="2" t="s">
        <v>52</v>
      </c>
      <c r="H28" s="2">
        <v>6</v>
      </c>
      <c r="J28" s="2" t="s">
        <v>54</v>
      </c>
    </row>
    <row r="29" spans="1:20">
      <c r="B29" s="2" t="s">
        <v>42</v>
      </c>
      <c r="E29" s="2" t="s">
        <v>52</v>
      </c>
      <c r="H29" s="2">
        <v>1</v>
      </c>
      <c r="J29" s="2" t="s">
        <v>55</v>
      </c>
    </row>
    <row r="31" spans="1:20">
      <c r="A31" t="s">
        <v>56</v>
      </c>
    </row>
    <row r="32" spans="1:20">
      <c r="A32" t="s">
        <v>30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17</v>
      </c>
      <c r="K32" s="1" t="s">
        <v>18</v>
      </c>
      <c r="L32" s="1" t="s">
        <v>19</v>
      </c>
      <c r="M32" s="1" t="s">
        <v>20</v>
      </c>
      <c r="N32" s="1" t="s">
        <v>6</v>
      </c>
      <c r="O32" s="1" t="s">
        <v>22</v>
      </c>
      <c r="P32" s="1" t="s">
        <v>23</v>
      </c>
      <c r="Q32" s="1" t="s">
        <v>24</v>
      </c>
      <c r="R32" s="1" t="s">
        <v>25</v>
      </c>
      <c r="S32" s="1" t="s">
        <v>26</v>
      </c>
      <c r="T32" s="1" t="s">
        <v>27</v>
      </c>
    </row>
    <row r="33" spans="1:20" ht="13.5" customHeight="1">
      <c r="B33" t="s">
        <v>48</v>
      </c>
      <c r="E33" s="1" t="s">
        <v>28</v>
      </c>
      <c r="F33" t="s">
        <v>57</v>
      </c>
      <c r="G33" t="s">
        <v>32</v>
      </c>
      <c r="K33" t="s">
        <v>51</v>
      </c>
      <c r="Q33" t="s">
        <v>36</v>
      </c>
    </row>
    <row r="34" spans="1:20">
      <c r="A34" t="s">
        <v>31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  <c r="I34" t="s">
        <v>8</v>
      </c>
      <c r="J34" t="s">
        <v>7</v>
      </c>
    </row>
    <row r="35" spans="1:20">
      <c r="B35" s="2" t="s">
        <v>41</v>
      </c>
      <c r="C35" s="2">
        <v>1290</v>
      </c>
      <c r="D35" s="2">
        <v>280</v>
      </c>
      <c r="E35" s="2" t="s">
        <v>52</v>
      </c>
      <c r="H35" s="2">
        <v>1</v>
      </c>
      <c r="J35" s="2" t="s">
        <v>49</v>
      </c>
    </row>
    <row r="36" spans="1:20">
      <c r="B36" s="2" t="s">
        <v>41</v>
      </c>
      <c r="C36" s="2">
        <v>1290</v>
      </c>
      <c r="D36" s="2">
        <v>810</v>
      </c>
      <c r="E36" s="2" t="s">
        <v>43</v>
      </c>
      <c r="H36" s="2">
        <v>1</v>
      </c>
      <c r="J36" s="2" t="s">
        <v>44</v>
      </c>
    </row>
    <row r="37" spans="1:20">
      <c r="B37" s="2" t="s">
        <v>41</v>
      </c>
      <c r="C37" s="2">
        <v>1290</v>
      </c>
      <c r="D37" s="2">
        <v>1180</v>
      </c>
      <c r="E37" s="2" t="s">
        <v>43</v>
      </c>
      <c r="H37" s="2">
        <v>1</v>
      </c>
      <c r="J37" s="2" t="s">
        <v>45</v>
      </c>
    </row>
    <row r="38" spans="1:20">
      <c r="B38" s="2" t="s">
        <v>41</v>
      </c>
      <c r="C38" s="2">
        <f>420+95*2</f>
        <v>610</v>
      </c>
      <c r="D38" s="2">
        <f>335+95*2</f>
        <v>525</v>
      </c>
      <c r="E38" s="2" t="s">
        <v>52</v>
      </c>
      <c r="H38" s="2">
        <v>6</v>
      </c>
      <c r="J38" s="2" t="s">
        <v>54</v>
      </c>
    </row>
    <row r="39" spans="1:20">
      <c r="B39" s="2" t="s">
        <v>42</v>
      </c>
      <c r="C39" s="2"/>
      <c r="D39" s="2"/>
      <c r="E39" s="2" t="s">
        <v>52</v>
      </c>
      <c r="H39" s="2">
        <v>1</v>
      </c>
      <c r="J39" s="2" t="s">
        <v>55</v>
      </c>
    </row>
    <row r="41" spans="1:20">
      <c r="A41" t="s">
        <v>58</v>
      </c>
    </row>
    <row r="42" spans="1:20">
      <c r="A42" t="s">
        <v>30</v>
      </c>
      <c r="B42" s="1" t="s">
        <v>9</v>
      </c>
      <c r="C42" s="1" t="s">
        <v>10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15</v>
      </c>
      <c r="I42" s="1" t="s">
        <v>16</v>
      </c>
      <c r="J42" s="1" t="s">
        <v>17</v>
      </c>
      <c r="K42" s="1" t="s">
        <v>18</v>
      </c>
      <c r="L42" s="1" t="s">
        <v>19</v>
      </c>
      <c r="M42" s="1" t="s">
        <v>20</v>
      </c>
      <c r="N42" s="1" t="s">
        <v>6</v>
      </c>
      <c r="O42" s="1" t="s">
        <v>22</v>
      </c>
      <c r="P42" s="1" t="s">
        <v>23</v>
      </c>
      <c r="Q42" s="1" t="s">
        <v>24</v>
      </c>
      <c r="R42" s="1" t="s">
        <v>25</v>
      </c>
      <c r="S42" s="1" t="s">
        <v>26</v>
      </c>
      <c r="T42" s="1" t="s">
        <v>27</v>
      </c>
    </row>
    <row r="43" spans="1:20" ht="13.5" customHeight="1">
      <c r="B43" t="s">
        <v>33</v>
      </c>
      <c r="E43" s="1" t="s">
        <v>28</v>
      </c>
      <c r="F43" t="s">
        <v>57</v>
      </c>
      <c r="G43" t="s">
        <v>32</v>
      </c>
      <c r="K43" t="s">
        <v>51</v>
      </c>
      <c r="Q43" t="s">
        <v>36</v>
      </c>
    </row>
    <row r="44" spans="1:20">
      <c r="A44" t="s">
        <v>31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8</v>
      </c>
      <c r="J44" t="s">
        <v>7</v>
      </c>
    </row>
    <row r="45" spans="1:20">
      <c r="B45" s="2" t="s">
        <v>41</v>
      </c>
      <c r="C45" s="2">
        <v>1290</v>
      </c>
      <c r="D45" s="2">
        <v>280</v>
      </c>
      <c r="E45" s="2" t="s">
        <v>52</v>
      </c>
      <c r="H45" s="2">
        <v>1</v>
      </c>
      <c r="J45" s="2" t="s">
        <v>49</v>
      </c>
    </row>
    <row r="46" spans="1:20">
      <c r="B46" s="2" t="s">
        <v>41</v>
      </c>
      <c r="C46" s="2">
        <v>1290</v>
      </c>
      <c r="D46" s="2">
        <v>810</v>
      </c>
      <c r="E46" s="2" t="s">
        <v>43</v>
      </c>
      <c r="H46" s="2">
        <v>1</v>
      </c>
      <c r="J46" s="2" t="s">
        <v>44</v>
      </c>
    </row>
    <row r="47" spans="1:20">
      <c r="B47" s="2" t="s">
        <v>41</v>
      </c>
      <c r="C47" s="2">
        <v>1290</v>
      </c>
      <c r="D47" s="2">
        <v>1180</v>
      </c>
      <c r="E47" s="2" t="s">
        <v>43</v>
      </c>
      <c r="H47" s="2">
        <v>1</v>
      </c>
      <c r="J47" s="2" t="s">
        <v>45</v>
      </c>
    </row>
    <row r="48" spans="1:20">
      <c r="B48" s="2" t="s">
        <v>41</v>
      </c>
      <c r="C48" s="2">
        <f>420+95*2</f>
        <v>610</v>
      </c>
      <c r="D48" s="2">
        <f>335+95*2</f>
        <v>525</v>
      </c>
      <c r="E48" s="2" t="s">
        <v>52</v>
      </c>
      <c r="H48" s="2">
        <v>6</v>
      </c>
      <c r="J48" s="2" t="s">
        <v>54</v>
      </c>
    </row>
    <row r="49" spans="2:10">
      <c r="B49" s="2" t="s">
        <v>42</v>
      </c>
      <c r="C49" s="2"/>
      <c r="D49" s="2"/>
      <c r="E49" s="2" t="s">
        <v>52</v>
      </c>
      <c r="H49" s="2">
        <v>1</v>
      </c>
      <c r="J49" s="2" t="s">
        <v>55</v>
      </c>
    </row>
  </sheetData>
  <phoneticPr fontId="1" type="noConversion"/>
  <dataValidations count="1">
    <dataValidation type="list" allowBlank="1" showInputMessage="1" showErrorMessage="1" sqref="T3:T10 T13:T19 T22:T30 T33:T40 T43:T1048576">
      <formula1>"是,否"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2016-04-06T08:58:31Z</dcterms:modified>
</cp:coreProperties>
</file>